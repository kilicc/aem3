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emakgun365-my.sharepoint.com/personal/akgun_aemakgun_com_tr/Documents/Masaüstü/PLANLAMA/"/>
    </mc:Choice>
  </mc:AlternateContent>
  <xr:revisionPtr revIDLastSave="0" documentId="8_{5D0A95EE-ECFF-45DE-8CA0-B34A0351DE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Z8" i="1"/>
  <c r="Z12" i="1"/>
  <c r="Z10" i="1"/>
  <c r="Z9" i="1"/>
  <c r="Z7" i="1"/>
  <c r="Z4" i="1"/>
  <c r="Z3" i="1"/>
</calcChain>
</file>

<file path=xl/sharedStrings.xml><?xml version="1.0" encoding="utf-8"?>
<sst xmlns="http://schemas.openxmlformats.org/spreadsheetml/2006/main" count="164" uniqueCount="118">
  <si>
    <t>PLAKA NUMARASI</t>
  </si>
  <si>
    <t>MARKA</t>
  </si>
  <si>
    <t>MODEL</t>
  </si>
  <si>
    <t>ÜRETİM YILI</t>
  </si>
  <si>
    <t>RENK</t>
  </si>
  <si>
    <t>YAKIT TİPİ</t>
  </si>
  <si>
    <t>ŞASİ NUMARASI</t>
  </si>
  <si>
    <t>MOTOR NUMARASI</t>
  </si>
  <si>
    <t>RUHSAT TARİHİ</t>
  </si>
  <si>
    <t>SİGORTA ŞİRKETİ</t>
  </si>
  <si>
    <t>SİGORTA POLİÇE NUMARASI</t>
  </si>
  <si>
    <t>SİGORTA BİTİŞ TARİHİ</t>
  </si>
  <si>
    <t>KASKO ŞİRKETİ</t>
  </si>
  <si>
    <t>KASKO POLİÇE NUMARASI</t>
  </si>
  <si>
    <t>KASKO BAŞLANGIÇ TARİHİ</t>
  </si>
  <si>
    <t>KASKO BİTİŞ TARİHİ</t>
  </si>
  <si>
    <t>KASKO PRİM TUTARI</t>
  </si>
  <si>
    <t>KİLOMETRE</t>
  </si>
  <si>
    <t>DURUM</t>
  </si>
  <si>
    <t>SON BAKIM TARİHİ</t>
  </si>
  <si>
    <t>BAKIM ARALIĞI (KM)</t>
  </si>
  <si>
    <t>SIRA NO</t>
  </si>
  <si>
    <t>35 AEM 071</t>
  </si>
  <si>
    <t>35 AEM 072</t>
  </si>
  <si>
    <t>35 AEM 074</t>
  </si>
  <si>
    <t>35 AEM 083</t>
  </si>
  <si>
    <t>35 AEM 078</t>
  </si>
  <si>
    <t>35 AEM 079</t>
  </si>
  <si>
    <t>35 AEM 75</t>
  </si>
  <si>
    <t>35 AEM 76</t>
  </si>
  <si>
    <t>35 AEM 77</t>
  </si>
  <si>
    <t>35 AEM 086</t>
  </si>
  <si>
    <t>35 AEM 089</t>
  </si>
  <si>
    <t>FIAT</t>
  </si>
  <si>
    <t>PEUGEOT</t>
  </si>
  <si>
    <t>BMW</t>
  </si>
  <si>
    <t>DACIA</t>
  </si>
  <si>
    <t>FORD</t>
  </si>
  <si>
    <t>MERCEDES-BENZ</t>
  </si>
  <si>
    <t>A3</t>
  </si>
  <si>
    <t>EGEA</t>
  </si>
  <si>
    <t>520İ</t>
  </si>
  <si>
    <t>JOGGER</t>
  </si>
  <si>
    <t>TRANSİT</t>
  </si>
  <si>
    <t>VİTO TOURER</t>
  </si>
  <si>
    <t>TOURNEO CUSTOM</t>
  </si>
  <si>
    <t>FIAT PRATICO</t>
  </si>
  <si>
    <t>AUDİ</t>
  </si>
  <si>
    <t>DİZEL</t>
  </si>
  <si>
    <t>BENZİN</t>
  </si>
  <si>
    <t>BENZİN+LPG</t>
  </si>
  <si>
    <t>DOĞA</t>
  </si>
  <si>
    <t xml:space="preserve">QUİCK </t>
  </si>
  <si>
    <t>ANADOLU</t>
  </si>
  <si>
    <t>HEPİYİ</t>
  </si>
  <si>
    <t>TÜRKİYE SİGORTA</t>
  </si>
  <si>
    <t>HDİ</t>
  </si>
  <si>
    <t>AKTİF</t>
  </si>
  <si>
    <t>BEYAZ</t>
  </si>
  <si>
    <t>NM43560000U089700</t>
  </si>
  <si>
    <t>RUHSAT NO</t>
  </si>
  <si>
    <t>463452667294049</t>
  </si>
  <si>
    <t>HK902377</t>
  </si>
  <si>
    <t>GZ409571</t>
  </si>
  <si>
    <t>IE513491</t>
  </si>
  <si>
    <t>HV737095</t>
  </si>
  <si>
    <t>FH700857</t>
  </si>
  <si>
    <t>FN065493</t>
  </si>
  <si>
    <t>GR575727</t>
  </si>
  <si>
    <t>FZ596130</t>
  </si>
  <si>
    <t>FZ596106</t>
  </si>
  <si>
    <t>HV782736</t>
  </si>
  <si>
    <t>IC220205</t>
  </si>
  <si>
    <t>10Q3EJ1528493</t>
  </si>
  <si>
    <t>VF3MCYHZUNS122338</t>
  </si>
  <si>
    <t>BEYAZ - SİYAH</t>
  </si>
  <si>
    <t>WBA31FJ03SCT59532</t>
  </si>
  <si>
    <t>A7197612</t>
  </si>
  <si>
    <t>GRİ</t>
  </si>
  <si>
    <t>100000477809050</t>
  </si>
  <si>
    <t>1638240725</t>
  </si>
  <si>
    <t>100000468002502</t>
  </si>
  <si>
    <t>H4DF480U193518</t>
  </si>
  <si>
    <t>UU1DJF00270303016</t>
  </si>
  <si>
    <t>1593377125</t>
  </si>
  <si>
    <t>1352000825</t>
  </si>
  <si>
    <t>100000470375660</t>
  </si>
  <si>
    <t>WAUZZZ8V4LA094655</t>
  </si>
  <si>
    <t>DPC393223</t>
  </si>
  <si>
    <t>JT74383</t>
  </si>
  <si>
    <t>NM09XXTTG9JT74383</t>
  </si>
  <si>
    <t>157842928</t>
  </si>
  <si>
    <t>158014302</t>
  </si>
  <si>
    <t>351000070173644</t>
  </si>
  <si>
    <t>147878488</t>
  </si>
  <si>
    <t>552804449366498</t>
  </si>
  <si>
    <t>NM426300006W25537</t>
  </si>
  <si>
    <t>TRANSİT PANELVAN</t>
  </si>
  <si>
    <t>147879129</t>
  </si>
  <si>
    <t>NL10575</t>
  </si>
  <si>
    <t>NM0EXXTTRENL10575</t>
  </si>
  <si>
    <t>1079860925</t>
  </si>
  <si>
    <t>1487269925</t>
  </si>
  <si>
    <t>LL34185</t>
  </si>
  <si>
    <t>NM0CXXTTRCLL34185</t>
  </si>
  <si>
    <t>SİYAH</t>
  </si>
  <si>
    <t>301000169333057</t>
  </si>
  <si>
    <t>W1V44770513829015</t>
  </si>
  <si>
    <t>65492081041679</t>
  </si>
  <si>
    <t>1087268025</t>
  </si>
  <si>
    <t>896214157/0</t>
  </si>
  <si>
    <t>NM0CXXTTRCSC47072</t>
  </si>
  <si>
    <t>SC47072</t>
  </si>
  <si>
    <t>2000249752967/0/0</t>
  </si>
  <si>
    <t>1587725825</t>
  </si>
  <si>
    <t>SİGORTA PRİM TUTARI</t>
  </si>
  <si>
    <t>MUAYENE TARİHİ</t>
  </si>
  <si>
    <t>EGZOZ MUAYENE TARİHİ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</si>
</sst>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  <charset val="162"/>
    </font>
    <font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/>
    </xf>
    <xf numFmtId="44" fontId="7" fillId="2" borderId="1" xfId="1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vertical="center"/>
    </xf>
    <xf numFmtId="44" fontId="7" fillId="2" borderId="1" xfId="1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left" vertical="center"/>
    </xf>
    <xf numFmtId="44" fontId="6" fillId="2" borderId="1" xfId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</cellXfs>
  <cellStyles count="3">
    <cellStyle name="Köprü" xfId="2" builtinId="8"/>
    <cellStyle name="Normal" xfId="0" builtinId="0"/>
    <cellStyle name="ParaBirimi" xfId="1" builtinId="4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3"/>
  <sheetViews>
    <sheetView tabSelected="1" workbookViewId="0">
      <selection activeCell="Z3" sqref="A3:Z13"/>
    </sheetView>
  </sheetViews>
  <sheetFormatPr defaultRowHeight="15" x14ac:dyDescent="0.25"/>
  <cols>
    <col min="2" max="2" width="17" bestFit="1" customWidth="1"/>
    <col min="3" max="3" width="19.42578125" bestFit="1" customWidth="1"/>
    <col min="4" max="4" width="21.5703125" bestFit="1" customWidth="1"/>
    <col min="5" max="5" width="11.5703125" bestFit="1" customWidth="1"/>
    <col min="6" max="6" width="13.28515625" bestFit="1" customWidth="1"/>
    <col min="7" max="7" width="13.85546875" bestFit="1" customWidth="1"/>
    <col min="8" max="8" width="19.7109375" bestFit="1" customWidth="1"/>
    <col min="9" max="9" width="25.28515625" customWidth="1"/>
    <col min="10" max="10" width="14.5703125" bestFit="1" customWidth="1"/>
    <col min="11" max="11" width="11.42578125" bestFit="1" customWidth="1"/>
    <col min="12" max="12" width="15.7109375" bestFit="1" customWidth="1"/>
    <col min="13" max="13" width="33.7109375" customWidth="1"/>
    <col min="14" max="14" width="26" customWidth="1"/>
    <col min="15" max="15" width="20" bestFit="1" customWidth="1"/>
    <col min="16" max="16" width="16.42578125" bestFit="1" customWidth="1"/>
    <col min="17" max="17" width="24.42578125" bestFit="1" customWidth="1"/>
    <col min="18" max="18" width="24.140625" bestFit="1" customWidth="1"/>
    <col min="19" max="19" width="18.28515625" bestFit="1" customWidth="1"/>
    <col min="20" max="20" width="19.28515625" bestFit="1" customWidth="1"/>
    <col min="21" max="21" width="11" bestFit="1" customWidth="1"/>
    <col min="22" max="22" width="8.140625" bestFit="1" customWidth="1"/>
    <col min="23" max="23" width="17.85546875" bestFit="1" customWidth="1"/>
    <col min="24" max="24" width="19.7109375" bestFit="1" customWidth="1"/>
    <col min="25" max="25" width="16.5703125" bestFit="1" customWidth="1"/>
    <col min="26" max="26" width="23.140625" bestFit="1" customWidth="1"/>
  </cols>
  <sheetData>
    <row r="2" spans="1:26" x14ac:dyDescent="0.25">
      <c r="A2" s="2" t="s">
        <v>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60</v>
      </c>
      <c r="L2" s="2" t="s">
        <v>9</v>
      </c>
      <c r="M2" s="2" t="s">
        <v>10</v>
      </c>
      <c r="N2" s="2" t="s">
        <v>115</v>
      </c>
      <c r="O2" s="3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1" t="s">
        <v>116</v>
      </c>
      <c r="Z2" s="3" t="s">
        <v>117</v>
      </c>
    </row>
    <row r="3" spans="1:26" x14ac:dyDescent="0.25">
      <c r="A3" s="4">
        <v>1</v>
      </c>
      <c r="B3" s="5" t="s">
        <v>22</v>
      </c>
      <c r="C3" s="5" t="s">
        <v>33</v>
      </c>
      <c r="D3" s="5" t="s">
        <v>40</v>
      </c>
      <c r="E3" s="5">
        <v>2023</v>
      </c>
      <c r="F3" s="4" t="s">
        <v>58</v>
      </c>
      <c r="G3" s="5" t="s">
        <v>48</v>
      </c>
      <c r="H3" s="4" t="s">
        <v>59</v>
      </c>
      <c r="I3" s="6" t="s">
        <v>61</v>
      </c>
      <c r="J3" s="7">
        <v>45608</v>
      </c>
      <c r="K3" s="4" t="s">
        <v>62</v>
      </c>
      <c r="L3" s="4" t="s">
        <v>51</v>
      </c>
      <c r="M3" s="6">
        <v>142455468</v>
      </c>
      <c r="N3" s="8">
        <v>9173.75</v>
      </c>
      <c r="O3" s="9">
        <v>46341</v>
      </c>
      <c r="P3" s="4" t="s">
        <v>53</v>
      </c>
      <c r="Q3" s="10" t="s">
        <v>114</v>
      </c>
      <c r="R3" s="7">
        <v>45976</v>
      </c>
      <c r="S3" s="9">
        <v>46341</v>
      </c>
      <c r="T3" s="8">
        <v>22220</v>
      </c>
      <c r="U3" s="4">
        <v>0</v>
      </c>
      <c r="V3" s="4" t="s">
        <v>57</v>
      </c>
      <c r="W3" s="4"/>
      <c r="X3" s="11">
        <v>10000</v>
      </c>
      <c r="Y3" s="12">
        <v>46349</v>
      </c>
      <c r="Z3" s="12">
        <f>+Y3</f>
        <v>46349</v>
      </c>
    </row>
    <row r="4" spans="1:26" x14ac:dyDescent="0.25">
      <c r="A4" s="4">
        <v>2</v>
      </c>
      <c r="B4" s="5" t="s">
        <v>23</v>
      </c>
      <c r="C4" s="5" t="s">
        <v>34</v>
      </c>
      <c r="D4" s="5">
        <v>5008</v>
      </c>
      <c r="E4" s="5">
        <v>2022</v>
      </c>
      <c r="F4" s="4" t="s">
        <v>75</v>
      </c>
      <c r="G4" s="5" t="s">
        <v>48</v>
      </c>
      <c r="H4" s="4" t="s">
        <v>74</v>
      </c>
      <c r="I4" s="6" t="s">
        <v>73</v>
      </c>
      <c r="J4" s="7">
        <v>45271</v>
      </c>
      <c r="K4" s="4" t="s">
        <v>63</v>
      </c>
      <c r="L4" s="4" t="s">
        <v>51</v>
      </c>
      <c r="M4" s="6">
        <v>1561117024</v>
      </c>
      <c r="N4" s="8">
        <v>9177</v>
      </c>
      <c r="O4" s="9">
        <v>46364</v>
      </c>
      <c r="P4" s="4" t="s">
        <v>53</v>
      </c>
      <c r="Q4" s="10">
        <v>1634945425</v>
      </c>
      <c r="R4" s="7">
        <v>45999</v>
      </c>
      <c r="S4" s="9">
        <v>46364</v>
      </c>
      <c r="T4" s="13">
        <v>16400</v>
      </c>
      <c r="U4" s="4">
        <v>0</v>
      </c>
      <c r="V4" s="4" t="s">
        <v>57</v>
      </c>
      <c r="W4" s="4"/>
      <c r="X4" s="11">
        <v>10000</v>
      </c>
      <c r="Y4" s="12">
        <v>46624</v>
      </c>
      <c r="Z4" s="12">
        <f>+Y4</f>
        <v>46624</v>
      </c>
    </row>
    <row r="5" spans="1:26" x14ac:dyDescent="0.25">
      <c r="A5" s="4">
        <v>3</v>
      </c>
      <c r="B5" s="5" t="s">
        <v>24</v>
      </c>
      <c r="C5" s="5" t="s">
        <v>35</v>
      </c>
      <c r="D5" s="5" t="s">
        <v>41</v>
      </c>
      <c r="E5" s="5">
        <v>2024</v>
      </c>
      <c r="F5" s="4" t="s">
        <v>78</v>
      </c>
      <c r="G5" s="5" t="s">
        <v>49</v>
      </c>
      <c r="H5" s="4" t="s">
        <v>76</v>
      </c>
      <c r="I5" s="6" t="s">
        <v>77</v>
      </c>
      <c r="J5" s="7">
        <v>45999</v>
      </c>
      <c r="K5" s="4" t="s">
        <v>64</v>
      </c>
      <c r="L5" s="14" t="s">
        <v>52</v>
      </c>
      <c r="M5" s="6" t="s">
        <v>79</v>
      </c>
      <c r="N5" s="8">
        <v>205</v>
      </c>
      <c r="O5" s="9">
        <v>46364</v>
      </c>
      <c r="P5" s="4" t="s">
        <v>53</v>
      </c>
      <c r="Q5" s="10" t="s">
        <v>80</v>
      </c>
      <c r="R5" s="7">
        <v>46004</v>
      </c>
      <c r="S5" s="9">
        <v>46369</v>
      </c>
      <c r="T5" s="13">
        <v>77490</v>
      </c>
      <c r="U5" s="4">
        <v>0</v>
      </c>
      <c r="V5" s="4" t="s">
        <v>57</v>
      </c>
      <c r="W5" s="4"/>
      <c r="X5" s="11">
        <v>10000</v>
      </c>
      <c r="Y5" s="12">
        <v>46629</v>
      </c>
      <c r="Z5" s="12">
        <v>46629</v>
      </c>
    </row>
    <row r="6" spans="1:26" x14ac:dyDescent="0.25">
      <c r="A6" s="4">
        <v>4</v>
      </c>
      <c r="B6" s="5" t="s">
        <v>25</v>
      </c>
      <c r="C6" s="5" t="s">
        <v>36</v>
      </c>
      <c r="D6" s="5" t="s">
        <v>42</v>
      </c>
      <c r="E6" s="5">
        <v>2023</v>
      </c>
      <c r="F6" s="4" t="s">
        <v>58</v>
      </c>
      <c r="G6" s="5" t="s">
        <v>50</v>
      </c>
      <c r="H6" s="4" t="s">
        <v>82</v>
      </c>
      <c r="I6" s="6" t="s">
        <v>83</v>
      </c>
      <c r="J6" s="7">
        <v>45978</v>
      </c>
      <c r="K6" s="4" t="s">
        <v>65</v>
      </c>
      <c r="L6" s="4" t="s">
        <v>52</v>
      </c>
      <c r="M6" s="6" t="s">
        <v>81</v>
      </c>
      <c r="N6" s="15">
        <v>17432.47</v>
      </c>
      <c r="O6" s="9">
        <v>46343</v>
      </c>
      <c r="P6" s="4" t="s">
        <v>53</v>
      </c>
      <c r="Q6" s="10" t="s">
        <v>84</v>
      </c>
      <c r="R6" s="7">
        <v>45674</v>
      </c>
      <c r="S6" s="9">
        <v>46343</v>
      </c>
      <c r="T6" s="15">
        <v>23640</v>
      </c>
      <c r="U6" s="4">
        <v>0</v>
      </c>
      <c r="V6" s="4" t="s">
        <v>57</v>
      </c>
      <c r="W6" s="4"/>
      <c r="X6" s="11">
        <v>10000</v>
      </c>
      <c r="Y6" s="12">
        <v>46708</v>
      </c>
      <c r="Z6" s="12">
        <v>46708</v>
      </c>
    </row>
    <row r="7" spans="1:26" x14ac:dyDescent="0.25">
      <c r="A7" s="4">
        <v>5</v>
      </c>
      <c r="B7" s="5" t="s">
        <v>26</v>
      </c>
      <c r="C7" s="5" t="s">
        <v>37</v>
      </c>
      <c r="D7" s="5" t="s">
        <v>43</v>
      </c>
      <c r="E7" s="5">
        <v>2020</v>
      </c>
      <c r="F7" s="4" t="s">
        <v>58</v>
      </c>
      <c r="G7" s="5" t="s">
        <v>48</v>
      </c>
      <c r="H7" s="4" t="s">
        <v>104</v>
      </c>
      <c r="I7" s="6" t="s">
        <v>103</v>
      </c>
      <c r="J7" s="7">
        <v>44099</v>
      </c>
      <c r="K7" s="4" t="s">
        <v>66</v>
      </c>
      <c r="L7" s="4" t="s">
        <v>53</v>
      </c>
      <c r="M7" s="6" t="s">
        <v>102</v>
      </c>
      <c r="N7" s="8">
        <v>16375</v>
      </c>
      <c r="O7" s="9">
        <v>46290</v>
      </c>
      <c r="P7" s="4" t="s">
        <v>51</v>
      </c>
      <c r="Q7" s="4">
        <v>166004759</v>
      </c>
      <c r="R7" s="7">
        <v>45929</v>
      </c>
      <c r="S7" s="9">
        <v>46294</v>
      </c>
      <c r="T7" s="8">
        <v>11806.93</v>
      </c>
      <c r="U7" s="4">
        <v>0</v>
      </c>
      <c r="V7" s="4" t="s">
        <v>57</v>
      </c>
      <c r="W7" s="4"/>
      <c r="X7" s="11">
        <v>20000</v>
      </c>
      <c r="Y7" s="12">
        <v>46284</v>
      </c>
      <c r="Z7" s="12">
        <f t="shared" ref="Z7:Z12" si="0">+Y7</f>
        <v>46284</v>
      </c>
    </row>
    <row r="8" spans="1:26" x14ac:dyDescent="0.25">
      <c r="A8" s="4">
        <v>6</v>
      </c>
      <c r="B8" s="5" t="s">
        <v>27</v>
      </c>
      <c r="C8" s="5" t="s">
        <v>38</v>
      </c>
      <c r="D8" s="5" t="s">
        <v>44</v>
      </c>
      <c r="E8" s="5">
        <v>2020</v>
      </c>
      <c r="F8" s="4" t="s">
        <v>105</v>
      </c>
      <c r="G8" s="5" t="s">
        <v>48</v>
      </c>
      <c r="H8" s="4" t="s">
        <v>107</v>
      </c>
      <c r="I8" s="6" t="s">
        <v>108</v>
      </c>
      <c r="J8" s="7">
        <v>44256</v>
      </c>
      <c r="K8" s="4" t="s">
        <v>67</v>
      </c>
      <c r="L8" s="4" t="s">
        <v>54</v>
      </c>
      <c r="M8" s="6" t="s">
        <v>106</v>
      </c>
      <c r="N8" s="15">
        <v>4404</v>
      </c>
      <c r="O8" s="9">
        <v>46079</v>
      </c>
      <c r="P8" s="4" t="s">
        <v>53</v>
      </c>
      <c r="Q8" s="10" t="s">
        <v>109</v>
      </c>
      <c r="R8" s="7">
        <v>45714</v>
      </c>
      <c r="S8" s="9">
        <v>46079</v>
      </c>
      <c r="T8" s="13">
        <v>27530</v>
      </c>
      <c r="U8" s="4">
        <v>0</v>
      </c>
      <c r="V8" s="4" t="s">
        <v>57</v>
      </c>
      <c r="W8" s="4"/>
      <c r="X8" s="11">
        <v>10000</v>
      </c>
      <c r="Y8" s="12">
        <v>46727</v>
      </c>
      <c r="Z8" s="12">
        <f t="shared" si="0"/>
        <v>46727</v>
      </c>
    </row>
    <row r="9" spans="1:26" x14ac:dyDescent="0.25">
      <c r="A9" s="4">
        <v>7</v>
      </c>
      <c r="B9" s="5" t="s">
        <v>28</v>
      </c>
      <c r="C9" s="5" t="s">
        <v>37</v>
      </c>
      <c r="D9" s="5" t="s">
        <v>45</v>
      </c>
      <c r="E9" s="5">
        <v>2018</v>
      </c>
      <c r="F9" s="4" t="s">
        <v>58</v>
      </c>
      <c r="G9" s="5" t="s">
        <v>48</v>
      </c>
      <c r="H9" s="4" t="s">
        <v>90</v>
      </c>
      <c r="I9" s="6" t="s">
        <v>89</v>
      </c>
      <c r="J9" s="7">
        <v>45112</v>
      </c>
      <c r="K9" s="4" t="s">
        <v>68</v>
      </c>
      <c r="L9" s="4" t="s">
        <v>51</v>
      </c>
      <c r="M9" s="6" t="s">
        <v>92</v>
      </c>
      <c r="N9" s="15">
        <v>7728</v>
      </c>
      <c r="O9" s="9">
        <v>46208</v>
      </c>
      <c r="P9" s="4" t="s">
        <v>51</v>
      </c>
      <c r="Q9" s="16" t="s">
        <v>91</v>
      </c>
      <c r="R9" s="7">
        <v>45843</v>
      </c>
      <c r="S9" s="9">
        <v>46208</v>
      </c>
      <c r="T9" s="15">
        <v>13595.15</v>
      </c>
      <c r="U9" s="4">
        <v>0</v>
      </c>
      <c r="V9" s="4" t="s">
        <v>57</v>
      </c>
      <c r="W9" s="4"/>
      <c r="X9" s="11">
        <v>20000</v>
      </c>
      <c r="Y9" s="12">
        <v>46528</v>
      </c>
      <c r="Z9" s="12">
        <f t="shared" si="0"/>
        <v>46528</v>
      </c>
    </row>
    <row r="10" spans="1:26" x14ac:dyDescent="0.25">
      <c r="A10" s="4">
        <v>8</v>
      </c>
      <c r="B10" s="5" t="s">
        <v>29</v>
      </c>
      <c r="C10" s="5" t="s">
        <v>33</v>
      </c>
      <c r="D10" s="5" t="s">
        <v>46</v>
      </c>
      <c r="E10" s="5">
        <v>2022</v>
      </c>
      <c r="F10" s="4" t="s">
        <v>58</v>
      </c>
      <c r="G10" s="5" t="s">
        <v>48</v>
      </c>
      <c r="H10" s="4" t="s">
        <v>96</v>
      </c>
      <c r="I10" s="6" t="s">
        <v>95</v>
      </c>
      <c r="J10" s="7">
        <v>44609</v>
      </c>
      <c r="K10" s="4" t="s">
        <v>69</v>
      </c>
      <c r="L10" s="4" t="s">
        <v>51</v>
      </c>
      <c r="M10" s="6" t="s">
        <v>94</v>
      </c>
      <c r="N10" s="8">
        <v>15316.6</v>
      </c>
      <c r="O10" s="9">
        <v>46070</v>
      </c>
      <c r="P10" s="4" t="s">
        <v>54</v>
      </c>
      <c r="Q10" s="10" t="s">
        <v>93</v>
      </c>
      <c r="R10" s="7">
        <v>45663</v>
      </c>
      <c r="S10" s="9">
        <v>46059</v>
      </c>
      <c r="T10" s="8">
        <v>17749.14</v>
      </c>
      <c r="U10" s="4">
        <v>0</v>
      </c>
      <c r="V10" s="4" t="s">
        <v>57</v>
      </c>
      <c r="W10" s="4"/>
      <c r="X10" s="11">
        <v>10000</v>
      </c>
      <c r="Y10" s="12">
        <v>46051</v>
      </c>
      <c r="Z10" s="12">
        <f t="shared" si="0"/>
        <v>46051</v>
      </c>
    </row>
    <row r="11" spans="1:26" x14ac:dyDescent="0.25">
      <c r="A11" s="4">
        <v>9</v>
      </c>
      <c r="B11" s="5" t="s">
        <v>30</v>
      </c>
      <c r="C11" s="5" t="s">
        <v>37</v>
      </c>
      <c r="D11" s="5" t="s">
        <v>97</v>
      </c>
      <c r="E11" s="5">
        <v>2022</v>
      </c>
      <c r="F11" s="4" t="s">
        <v>58</v>
      </c>
      <c r="G11" s="5" t="s">
        <v>48</v>
      </c>
      <c r="H11" s="4" t="s">
        <v>100</v>
      </c>
      <c r="I11" s="6" t="s">
        <v>99</v>
      </c>
      <c r="J11" s="7">
        <v>44609</v>
      </c>
      <c r="K11" s="4" t="s">
        <v>70</v>
      </c>
      <c r="L11" s="4" t="s">
        <v>51</v>
      </c>
      <c r="M11" s="6" t="s">
        <v>98</v>
      </c>
      <c r="N11" s="8">
        <v>15316.6</v>
      </c>
      <c r="O11" s="9">
        <v>46070</v>
      </c>
      <c r="P11" s="4" t="s">
        <v>56</v>
      </c>
      <c r="Q11" s="10" t="s">
        <v>101</v>
      </c>
      <c r="R11" s="7">
        <v>45677</v>
      </c>
      <c r="S11" s="9">
        <v>46073</v>
      </c>
      <c r="T11" s="8">
        <v>12752.65</v>
      </c>
      <c r="U11" s="4">
        <v>0</v>
      </c>
      <c r="V11" s="4" t="s">
        <v>57</v>
      </c>
      <c r="W11" s="4"/>
      <c r="X11" s="11">
        <v>20000</v>
      </c>
      <c r="Y11" s="12">
        <v>46045</v>
      </c>
      <c r="Z11" s="12">
        <f t="shared" si="0"/>
        <v>46045</v>
      </c>
    </row>
    <row r="12" spans="1:26" x14ac:dyDescent="0.25">
      <c r="A12" s="4">
        <v>10</v>
      </c>
      <c r="B12" s="5" t="s">
        <v>31</v>
      </c>
      <c r="C12" s="5" t="s">
        <v>37</v>
      </c>
      <c r="D12" s="5" t="s">
        <v>43</v>
      </c>
      <c r="E12" s="5">
        <v>2025</v>
      </c>
      <c r="F12" s="4" t="s">
        <v>58</v>
      </c>
      <c r="G12" s="5" t="s">
        <v>48</v>
      </c>
      <c r="H12" s="4" t="s">
        <v>111</v>
      </c>
      <c r="I12" s="6" t="s">
        <v>112</v>
      </c>
      <c r="J12" s="7">
        <v>45979</v>
      </c>
      <c r="K12" s="4" t="s">
        <v>71</v>
      </c>
      <c r="L12" s="4" t="s">
        <v>55</v>
      </c>
      <c r="M12" s="6" t="s">
        <v>110</v>
      </c>
      <c r="N12" s="8">
        <v>17859.8</v>
      </c>
      <c r="O12" s="9">
        <v>46344</v>
      </c>
      <c r="P12" s="4" t="s">
        <v>56</v>
      </c>
      <c r="Q12" s="10" t="s">
        <v>113</v>
      </c>
      <c r="R12" s="7">
        <v>45979</v>
      </c>
      <c r="S12" s="9">
        <v>46344</v>
      </c>
      <c r="T12" s="8">
        <v>23195.53</v>
      </c>
      <c r="U12" s="4">
        <v>0</v>
      </c>
      <c r="V12" s="4" t="s">
        <v>57</v>
      </c>
      <c r="W12" s="4"/>
      <c r="X12" s="11">
        <v>10000</v>
      </c>
      <c r="Y12" s="12">
        <v>46282</v>
      </c>
      <c r="Z12" s="12">
        <f t="shared" si="0"/>
        <v>46282</v>
      </c>
    </row>
    <row r="13" spans="1:26" x14ac:dyDescent="0.25">
      <c r="A13" s="4">
        <v>11</v>
      </c>
      <c r="B13" s="5" t="s">
        <v>32</v>
      </c>
      <c r="C13" s="5" t="s">
        <v>39</v>
      </c>
      <c r="D13" s="5" t="s">
        <v>47</v>
      </c>
      <c r="E13" s="5">
        <v>2020</v>
      </c>
      <c r="F13" s="4" t="s">
        <v>78</v>
      </c>
      <c r="G13" s="5" t="s">
        <v>49</v>
      </c>
      <c r="H13" s="4" t="s">
        <v>87</v>
      </c>
      <c r="I13" s="6" t="s">
        <v>88</v>
      </c>
      <c r="J13" s="7">
        <v>45982</v>
      </c>
      <c r="K13" s="4" t="s">
        <v>72</v>
      </c>
      <c r="L13" s="4" t="s">
        <v>52</v>
      </c>
      <c r="M13" s="6" t="s">
        <v>86</v>
      </c>
      <c r="N13" s="8">
        <v>11908.57</v>
      </c>
      <c r="O13" s="7">
        <v>46347</v>
      </c>
      <c r="P13" s="4" t="s">
        <v>53</v>
      </c>
      <c r="Q13" s="10" t="s">
        <v>85</v>
      </c>
      <c r="R13" s="7">
        <v>45864</v>
      </c>
      <c r="S13" s="9">
        <v>46229</v>
      </c>
      <c r="T13" s="8">
        <v>10769</v>
      </c>
      <c r="U13" s="4">
        <v>0</v>
      </c>
      <c r="V13" s="4" t="s">
        <v>57</v>
      </c>
      <c r="W13" s="4"/>
      <c r="X13" s="11">
        <v>10000</v>
      </c>
      <c r="Y13" s="12">
        <v>46620</v>
      </c>
      <c r="Z13" s="12">
        <v>46620</v>
      </c>
    </row>
  </sheetData>
  <conditionalFormatting sqref="O3:O12 Q3:Q6 Q8 Q10:Q13">
    <cfRule type="expression" dxfId="3" priority="6">
      <formula>AND(O3&gt;=TODAY()+30)</formula>
    </cfRule>
  </conditionalFormatting>
  <conditionalFormatting sqref="S3:S13">
    <cfRule type="expression" dxfId="2" priority="3">
      <formula>AND(S3&gt;=TODAY()+30)</formula>
    </cfRule>
  </conditionalFormatting>
  <conditionalFormatting sqref="N3:N13">
    <cfRule type="expression" dxfId="1" priority="2">
      <formula>AND(N3&gt;=TODAY()+30)</formula>
    </cfRule>
  </conditionalFormatting>
  <conditionalFormatting sqref="Y3:Z13">
    <cfRule type="expression" dxfId="0" priority="1">
      <formula>AND(Y3&gt;=TODAY()+30)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Akgun</dc:creator>
  <cp:lastModifiedBy>Akgun | AEM</cp:lastModifiedBy>
  <dcterms:created xsi:type="dcterms:W3CDTF">2015-06-05T18:19:34Z</dcterms:created>
  <dcterms:modified xsi:type="dcterms:W3CDTF">2025-12-09T13:23:52Z</dcterms:modified>
</cp:coreProperties>
</file>